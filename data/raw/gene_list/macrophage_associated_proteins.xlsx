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giraudmn/Documents/ams gwas/"/>
    </mc:Choice>
  </mc:AlternateContent>
  <xr:revisionPtr revIDLastSave="0" documentId="8_{13D9959A-CEF2-3E48-B79C-55CE9B4D44C3}" xr6:coauthVersionLast="47" xr6:coauthVersionMax="47" xr10:uidLastSave="{00000000-0000-0000-0000-000000000000}"/>
  <bookViews>
    <workbookView xWindow="70960" yWindow="-780" windowWidth="28800" windowHeight="17400" xr2:uid="{00000000-000D-0000-FFFF-FFFF00000000}"/>
  </bookViews>
  <sheets>
    <sheet name="Macrophage_protein_table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1" l="1"/>
  <c r="D56" i="1"/>
  <c r="F55" i="1"/>
  <c r="D55" i="1"/>
  <c r="F54" i="1"/>
  <c r="D54" i="1"/>
  <c r="F53" i="1"/>
  <c r="D53" i="1"/>
  <c r="F52" i="1"/>
  <c r="D52" i="1"/>
  <c r="F51" i="1"/>
  <c r="D51" i="1"/>
  <c r="F50" i="1"/>
  <c r="D50" i="1"/>
  <c r="F49" i="1"/>
  <c r="D49" i="1"/>
  <c r="F48" i="1"/>
  <c r="D48" i="1"/>
  <c r="F47" i="1"/>
  <c r="D47" i="1"/>
  <c r="F46" i="1"/>
  <c r="D46" i="1"/>
  <c r="F45" i="1"/>
  <c r="D45" i="1"/>
  <c r="F44" i="1"/>
  <c r="D44" i="1"/>
  <c r="F43" i="1"/>
  <c r="D43" i="1"/>
  <c r="F42" i="1"/>
  <c r="D42" i="1"/>
  <c r="F41" i="1"/>
  <c r="D41" i="1"/>
  <c r="F40" i="1"/>
  <c r="D40" i="1"/>
  <c r="F39" i="1"/>
  <c r="D39" i="1"/>
  <c r="F38" i="1"/>
  <c r="D38" i="1"/>
  <c r="F37" i="1"/>
  <c r="D37" i="1"/>
  <c r="F36" i="1"/>
  <c r="D36" i="1"/>
  <c r="F35" i="1"/>
  <c r="D35" i="1"/>
  <c r="F34" i="1"/>
  <c r="D34" i="1"/>
  <c r="F33" i="1"/>
  <c r="D33" i="1"/>
  <c r="F32" i="1"/>
  <c r="D32" i="1"/>
  <c r="F31" i="1"/>
  <c r="D31" i="1"/>
  <c r="F30" i="1"/>
  <c r="D30" i="1"/>
  <c r="F29" i="1"/>
  <c r="D29" i="1"/>
  <c r="F28" i="1"/>
  <c r="D28" i="1"/>
  <c r="F27" i="1"/>
  <c r="D27" i="1"/>
  <c r="F26" i="1"/>
  <c r="D26" i="1"/>
  <c r="F25" i="1"/>
  <c r="D25" i="1"/>
  <c r="F24" i="1"/>
  <c r="D24" i="1"/>
  <c r="F23" i="1"/>
  <c r="D23" i="1"/>
  <c r="F22" i="1"/>
  <c r="D22" i="1"/>
  <c r="F21" i="1"/>
  <c r="D21" i="1"/>
  <c r="F20" i="1"/>
  <c r="D20" i="1"/>
  <c r="F19" i="1"/>
  <c r="D19" i="1"/>
  <c r="F18" i="1"/>
  <c r="D18" i="1"/>
  <c r="F17" i="1"/>
  <c r="D17" i="1"/>
  <c r="F16" i="1"/>
  <c r="D16" i="1"/>
  <c r="F15" i="1"/>
  <c r="D15" i="1"/>
  <c r="F14" i="1"/>
  <c r="D14" i="1"/>
  <c r="F13" i="1"/>
  <c r="D13" i="1"/>
  <c r="F12" i="1"/>
  <c r="D12" i="1"/>
  <c r="F11" i="1"/>
  <c r="D11" i="1"/>
  <c r="F10" i="1"/>
  <c r="D10" i="1"/>
  <c r="F9" i="1"/>
  <c r="D9" i="1"/>
  <c r="F8" i="1"/>
  <c r="D8" i="1"/>
  <c r="F7" i="1"/>
  <c r="D7" i="1"/>
  <c r="F6" i="1"/>
  <c r="D6" i="1"/>
  <c r="F5" i="1"/>
  <c r="D5" i="1"/>
</calcChain>
</file>

<file path=xl/sharedStrings.xml><?xml version="1.0" encoding="utf-8"?>
<sst xmlns="http://schemas.openxmlformats.org/spreadsheetml/2006/main" count="388" uniqueCount="282">
  <si>
    <t>Macrophage-associated proteins identified in the infarcted secretome</t>
  </si>
  <si>
    <t>Direction and fold-change are expressed as infarcted vs healthy. log2FC = −(Difference healthy_inf); fold-change = 2^log2FC. q-value is the Welch t-test q-value from the source file.</t>
  </si>
  <si>
    <t>Rat gene</t>
  </si>
  <si>
    <t>Human gene</t>
  </si>
  <si>
    <t>Protein</t>
  </si>
  <si>
    <t>Direction in rat infarcted vs healthy</t>
  </si>
  <si>
    <t>log2FC</t>
  </si>
  <si>
    <t>Fold-change</t>
  </si>
  <si>
    <t>q-value</t>
  </si>
  <si>
    <t>Priority</t>
  </si>
  <si>
    <t>Macrophage relevance</t>
  </si>
  <si>
    <t>Macrophage-linked process</t>
  </si>
  <si>
    <t>Rationale / why included</t>
  </si>
  <si>
    <t>Csf1r</t>
  </si>
  <si>
    <t>CSF1R</t>
  </si>
  <si>
    <t>M-CSF receptor / CSF1R</t>
  </si>
  <si>
    <t>Very high</t>
  </si>
  <si>
    <t>Direct/strong</t>
  </si>
  <si>
    <t>Macrophage lineage receptor signaling</t>
  </si>
  <si>
    <t>Central receptor for CSF1-dependent macrophage survival, differentiation and expansion.</t>
  </si>
  <si>
    <t>Csf1</t>
  </si>
  <si>
    <t>CSF1</t>
  </si>
  <si>
    <t>M-CSF / macrophage colony-stimulating factor 1</t>
  </si>
  <si>
    <t>Macrophage survival, differentiation and proliferation</t>
  </si>
  <si>
    <t>Core macrophage lineage cytokine; supports monocyte/macrophage differentiation and persistence.</t>
  </si>
  <si>
    <t>Cd14</t>
  </si>
  <si>
    <t>CD14</t>
  </si>
  <si>
    <t>Monocyte differentiation antigen CD14</t>
  </si>
  <si>
    <t>Monocyte/macrophage innate immune sensing</t>
  </si>
  <si>
    <t>Canonical monocyte/macrophage marker involved in LPS/TLR innate immune signaling.</t>
  </si>
  <si>
    <t>Itgam</t>
  </si>
  <si>
    <t>ITGAM</t>
  </si>
  <si>
    <t>Integrin alpha M / CD11b</t>
  </si>
  <si>
    <t>Myeloid adhesion, migration and phagocytosis</t>
  </si>
  <si>
    <t>Classic myeloid/macrophage integrin; supports leukocyte adhesion, recruitment and phagocytosis.</t>
  </si>
  <si>
    <t>Itgb2</t>
  </si>
  <si>
    <t>ITGB2</t>
  </si>
  <si>
    <t>Integrin beta-2 / CD18</t>
  </si>
  <si>
    <t>High</t>
  </si>
  <si>
    <t>Leukocyte adhesion and trafficking</t>
  </si>
  <si>
    <t>Pairs with myeloid integrins such as CD11b/CD18; supports inflammatory cell recruitment.</t>
  </si>
  <si>
    <t>Lyz2;Lyz1</t>
  </si>
  <si>
    <t>LYZ</t>
  </si>
  <si>
    <t>Lysozyme C</t>
  </si>
  <si>
    <t>Myeloid antimicrobial and phagolysosomal activity</t>
  </si>
  <si>
    <t>Myeloid-enriched lysozyme family protein; indicates monocyte/macrophage secretory/lysosomal activity.</t>
  </si>
  <si>
    <t>Lcp1</t>
  </si>
  <si>
    <t>LCP1</t>
  </si>
  <si>
    <t>Plastin-2 / L-plastin</t>
  </si>
  <si>
    <t>Strong</t>
  </si>
  <si>
    <t>Leukocyte cytoskeleton and migration</t>
  </si>
  <si>
    <t>Leukocyte actin-bundling protein consistent with immune-cell migration and activation.</t>
  </si>
  <si>
    <t>Cd163</t>
  </si>
  <si>
    <t>CD163</t>
  </si>
  <si>
    <t>CD163 scavenger receptor</t>
  </si>
  <si>
    <t>Macrophage scavenger receptor; reparative phenotype</t>
  </si>
  <si>
    <t>Macrophage scavenger receptor often associated with anti-inflammatory/reparative macrophage states.</t>
  </si>
  <si>
    <t>Msr1</t>
  </si>
  <si>
    <t>MSR1</t>
  </si>
  <si>
    <t>Macrophage scavenger receptor 1</t>
  </si>
  <si>
    <t>Scavenger receptor activity and lipid/debris clearance</t>
  </si>
  <si>
    <t>Direct macrophage scavenger receptor marker involved in uptake of modified lipids and cellular debris.</t>
  </si>
  <si>
    <t>C1qa</t>
  </si>
  <si>
    <t>C1QA</t>
  </si>
  <si>
    <t>Complement C1q subcomponent subunit A</t>
  </si>
  <si>
    <t>Complement, efferocytosis and resident/reparative macrophages</t>
  </si>
  <si>
    <t>C1q genes are strongly linked to macrophage clearance functions and complement-mediated efferocytosis.</t>
  </si>
  <si>
    <t>C1qb</t>
  </si>
  <si>
    <t>C1QB</t>
  </si>
  <si>
    <t>Complement C1q subcomponent subunit B</t>
  </si>
  <si>
    <t>C1q subunit consistent with macrophage-associated clearance and complement activation.</t>
  </si>
  <si>
    <t>C1qc</t>
  </si>
  <si>
    <t>C1QC</t>
  </si>
  <si>
    <t>Complement C1q subcomponent subunit C</t>
  </si>
  <si>
    <t>Completes the C1q macrophage/efferocytosis signature together with C1QA and C1QB.</t>
  </si>
  <si>
    <t>Cfd</t>
  </si>
  <si>
    <t>CFD</t>
  </si>
  <si>
    <t>Complement factor D</t>
  </si>
  <si>
    <t>Alternative complement pathway</t>
  </si>
  <si>
    <t>Complement pathway candidate compatible with innate immune and macrophage-rich remodeling.</t>
  </si>
  <si>
    <t>Cfh</t>
  </si>
  <si>
    <t>CFH</t>
  </si>
  <si>
    <t>Complement factor H</t>
  </si>
  <si>
    <t>Complement regulation</t>
  </si>
  <si>
    <t>Complement regulator that may reflect macrophage-associated immune modulation in damaged tissue.</t>
  </si>
  <si>
    <t>C2</t>
  </si>
  <si>
    <t>Complement C2</t>
  </si>
  <si>
    <t>Moderate/strong</t>
  </si>
  <si>
    <t>Classical complement pathway</t>
  </si>
  <si>
    <t>Complement activation candidate supporting an innate immune signature in the infarcted secretome.</t>
  </si>
  <si>
    <t>C1r</t>
  </si>
  <si>
    <t>C1R</t>
  </si>
  <si>
    <t>Complement C1r subcomponent</t>
  </si>
  <si>
    <t>Secondary</t>
  </si>
  <si>
    <t>Included as biologically relevant complement candidate; q-value is just above the usual 0.05 threshold.</t>
  </si>
  <si>
    <t>Serping1</t>
  </si>
  <si>
    <t>SERPING1</t>
  </si>
  <si>
    <t>Plasma protease C1 inhibitor</t>
  </si>
  <si>
    <t>Complement and protease inhibition</t>
  </si>
  <si>
    <t>Complement-control protein; included as supportive biology despite q-value slightly above 0.05.</t>
  </si>
  <si>
    <t>Apoe</t>
  </si>
  <si>
    <t>APOE</t>
  </si>
  <si>
    <t>Apolipoprotein E</t>
  </si>
  <si>
    <t>Macrophage lipid handling and efferocytosis</t>
  </si>
  <si>
    <t>Key macrophage lipid-handling protein with strong cardiovascular and foam-cell relevance.</t>
  </si>
  <si>
    <t>Ccl2</t>
  </si>
  <si>
    <t>CCL2</t>
  </si>
  <si>
    <t>C-C motif chemokine 2 / MCP-1</t>
  </si>
  <si>
    <t>Monocyte recruitment and chemotaxis</t>
  </si>
  <si>
    <t>Major chemokine for CCR2+ monocyte/macrophage recruitment after tissue injury.</t>
  </si>
  <si>
    <t>Ccl3</t>
  </si>
  <si>
    <t>CCL3</t>
  </si>
  <si>
    <t>C-C motif chemokine 3 / MIP-1α</t>
  </si>
  <si>
    <t>Inflammatory leukocyte recruitment</t>
  </si>
  <si>
    <t>Inflammatory chemokine linked to myeloid-cell recruitment; q-value is above 0.05, so use as supportive.</t>
  </si>
  <si>
    <t>Ccl7</t>
  </si>
  <si>
    <t>CCL7</t>
  </si>
  <si>
    <t>C-C motif chemokine 7 / MCP-3</t>
  </si>
  <si>
    <t>Chemokine involved in monocyte recruitment; supports the macrophage-attracting secretome signature.</t>
  </si>
  <si>
    <t>Cxcl1</t>
  </si>
  <si>
    <t>CXCL1</t>
  </si>
  <si>
    <t>C-X-C motif chemokine 1</t>
  </si>
  <si>
    <t>Inflammatory chemotaxis</t>
  </si>
  <si>
    <t>Pro-inflammatory chemokine reflecting innate immune recruitment in the infarcted secretome.</t>
  </si>
  <si>
    <t>Cxcl2</t>
  </si>
  <si>
    <t>CXCL2</t>
  </si>
  <si>
    <t>C-X-C motif chemokine 2</t>
  </si>
  <si>
    <t>Innate immune chemokine supporting inflammatory leukocyte recruitment after injury.</t>
  </si>
  <si>
    <t>Cxcl3</t>
  </si>
  <si>
    <t>CXCL3</t>
  </si>
  <si>
    <t>C-X-C motif chemokine 3</t>
  </si>
  <si>
    <t>Inflammatory chemokine contributing to the leukocyte-recruitment signature.</t>
  </si>
  <si>
    <t>Il1rn</t>
  </si>
  <si>
    <t>IL1RN</t>
  </si>
  <si>
    <t>IL-1 receptor antagonist</t>
  </si>
  <si>
    <t>IL-1 inflammatory regulation and resolution</t>
  </si>
  <si>
    <t>Regulates IL-1-driven inflammation; relevant to macrophage-mediated inflammatory balance.</t>
  </si>
  <si>
    <t>Tnf</t>
  </si>
  <si>
    <t>TNF</t>
  </si>
  <si>
    <t>Tumor necrosis factor</t>
  </si>
  <si>
    <t>Pro-inflammatory macrophage signaling</t>
  </si>
  <si>
    <t>Classic inflammatory cytokine linked to activated myeloid/macrophage responses.</t>
  </si>
  <si>
    <t>Lbp</t>
  </si>
  <si>
    <t>LBP</t>
  </si>
  <si>
    <t>Lipopolysaccharide-binding protein</t>
  </si>
  <si>
    <t>Innate immune sensing and TLR-associated activation</t>
  </si>
  <si>
    <t>Supports an innate immune activation signature linked to monocyte/macrophage inflammatory sensing.</t>
  </si>
  <si>
    <t>Spp1</t>
  </si>
  <si>
    <t>SPP1</t>
  </si>
  <si>
    <t>Osteopontin</t>
  </si>
  <si>
    <t>Inflammatory macrophages and tissue remodeling</t>
  </si>
  <si>
    <t>Macrophage-associated matricellular/inflammatory protein with strong post-injury remodeling relevance.</t>
  </si>
  <si>
    <t>Mmp2</t>
  </si>
  <si>
    <t>MMP2</t>
  </si>
  <si>
    <t>Matrix metalloproteinase-2</t>
  </si>
  <si>
    <t>Extracellular matrix remodeling</t>
  </si>
  <si>
    <t>MMP pathway candidate for macrophage-associated matrix degradation and tissue repair.</t>
  </si>
  <si>
    <t>Mmp9</t>
  </si>
  <si>
    <t>MMP9</t>
  </si>
  <si>
    <t>Matrix metalloproteinase-9</t>
  </si>
  <si>
    <t>Myeloid-associated matrix degradation</t>
  </si>
  <si>
    <t>Strong inflammatory remodeling candidate frequently linked to macrophages and neutrophils.</t>
  </si>
  <si>
    <t>Mmp12</t>
  </si>
  <si>
    <t>MMP12</t>
  </si>
  <si>
    <t>Macrophage metalloelastase</t>
  </si>
  <si>
    <t>Macrophage elastase and matrix degradation</t>
  </si>
  <si>
    <t>Directly macrophage-linked metalloproteinase; key remodeling candidate even with moderate fold-change.</t>
  </si>
  <si>
    <t>Mmp13</t>
  </si>
  <si>
    <t>MMP13</t>
  </si>
  <si>
    <t>Collagenase-3</t>
  </si>
  <si>
    <t>Collagen degradation and matrix remodeling</t>
  </si>
  <si>
    <t>Matrix remodeling candidate in the inflammatory repair environment.</t>
  </si>
  <si>
    <t>Timp1</t>
  </si>
  <si>
    <t>TIMP1</t>
  </si>
  <si>
    <t>Metalloproteinase inhibitor 1</t>
  </si>
  <si>
    <t>MMP inhibition; matrix repair/fibrosis</t>
  </si>
  <si>
    <t>Balances MMP activity and is relevant to macrophage-associated remodeling and fibrosis.</t>
  </si>
  <si>
    <t>Timp2</t>
  </si>
  <si>
    <t>TIMP2</t>
  </si>
  <si>
    <t>Metalloproteinase inhibitor 2</t>
  </si>
  <si>
    <t>MMP inhibition and matrix homeostasis</t>
  </si>
  <si>
    <t>Regulates MMP axis and extracellular matrix remodeling after injury.</t>
  </si>
  <si>
    <t>Thbs1</t>
  </si>
  <si>
    <t>THBS1</t>
  </si>
  <si>
    <t>Thrombospondin-1</t>
  </si>
  <si>
    <t>TGF-β activation and inflammatory remodeling</t>
  </si>
  <si>
    <t>Candidate for macrophage–fibroblast crosstalk and fibrotic remodeling.</t>
  </si>
  <si>
    <t>Vegfa</t>
  </si>
  <si>
    <t>VEGFA</t>
  </si>
  <si>
    <t>VEGF-A</t>
  </si>
  <si>
    <t>Angiogenesis, hypoxia response and macrophage repair signaling</t>
  </si>
  <si>
    <t>Macrophages can participate in VEGF-driven vascular remodeling after injury.</t>
  </si>
  <si>
    <t>Vcan</t>
  </si>
  <si>
    <t>VCAN</t>
  </si>
  <si>
    <t>Versican core protein</t>
  </si>
  <si>
    <t>ECM proteoglycan, cell migration and inflammatory matrix</t>
  </si>
  <si>
    <t>Matrix proteoglycan associated with inflammatory tissue remodeling and leukocyte-rich repair.</t>
  </si>
  <si>
    <t>Fn1</t>
  </si>
  <si>
    <t>FN1</t>
  </si>
  <si>
    <t>Fibronectin</t>
  </si>
  <si>
    <t>ECM deposition, cell adhesion and repair matrix</t>
  </si>
  <si>
    <t>Fibronectin-rich repair matrix can shape macrophage adhesion, migration and activation.</t>
  </si>
  <si>
    <t>Capg</t>
  </si>
  <si>
    <t>CAPG</t>
  </si>
  <si>
    <t>Macrophage-capping protein</t>
  </si>
  <si>
    <t>Actin remodeling and macrophage motility</t>
  </si>
  <si>
    <t>Macrophage-capping protein; supports cytoskeletal remodeling and immune-cell migration.</t>
  </si>
  <si>
    <t>Cst3</t>
  </si>
  <si>
    <t>CST3</t>
  </si>
  <si>
    <t>Cystatin-C</t>
  </si>
  <si>
    <t>Protease regulation and matrix turnover</t>
  </si>
  <si>
    <t>Protease inhibitor relevant to macrophage protease balance and extracellular remodeling.</t>
  </si>
  <si>
    <t>Hexb</t>
  </si>
  <si>
    <t>HEXB</t>
  </si>
  <si>
    <t>Beta-hexosaminidase subunit beta</t>
  </si>
  <si>
    <t>Lysosome and glycan degradation</t>
  </si>
  <si>
    <t>Phagolysosomal enzyme; direction suggests reduced abundance in the infarcted secretome.</t>
  </si>
  <si>
    <t>Ctsz</t>
  </si>
  <si>
    <t>CTSZ</t>
  </si>
  <si>
    <t>Cathepsin Z</t>
  </si>
  <si>
    <t>Lysosomal proteolysis and antigen processing</t>
  </si>
  <si>
    <t>Cathepsin family protease linked to phagolysosomal degradation; lower in infarcted secretome here.</t>
  </si>
  <si>
    <t>Ctsc</t>
  </si>
  <si>
    <t>CTSC</t>
  </si>
  <si>
    <t>Cathepsin C / dipeptidyl peptidase 1</t>
  </si>
  <si>
    <t>Lysosomal proteolysis and immune protease activation</t>
  </si>
  <si>
    <t>Myeloid-relevant lysosomal protease involved in immune protease activation.</t>
  </si>
  <si>
    <t>Tpp1</t>
  </si>
  <si>
    <t>TPP1</t>
  </si>
  <si>
    <t>Tripeptidyl-peptidase 1</t>
  </si>
  <si>
    <t>Lysosomal peptide degradation</t>
  </si>
  <si>
    <t>Lysosomal enzyme consistent with phagolysosomal/protein degradation biology.</t>
  </si>
  <si>
    <t>Ctsa</t>
  </si>
  <si>
    <t>CTSA</t>
  </si>
  <si>
    <t>Cathepsin A</t>
  </si>
  <si>
    <t>Lysosomal degradation</t>
  </si>
  <si>
    <t>Lysosomal protease/protective protein candidate in macrophage phagolysosomal pathways.</t>
  </si>
  <si>
    <t>Ifi30</t>
  </si>
  <si>
    <t>IFI30</t>
  </si>
  <si>
    <t>Gamma-interferon-inducible lysosomal thiol reductase</t>
  </si>
  <si>
    <t>Antigen processing and MHC class II pathway</t>
  </si>
  <si>
    <t>Immune lysosomal reductase involved in antigen-processing biology.</t>
  </si>
  <si>
    <t>Gusb</t>
  </si>
  <si>
    <t>GUSB</t>
  </si>
  <si>
    <t>Beta-glucuronidase</t>
  </si>
  <si>
    <t>Lysosome and glycosaminoglycan degradation</t>
  </si>
  <si>
    <t>Lysosomal hydrolase supporting macrophage degradation/clearance functions.</t>
  </si>
  <si>
    <t>Gaa</t>
  </si>
  <si>
    <t>GAA</t>
  </si>
  <si>
    <t>Lysosomal alpha-glucosidase</t>
  </si>
  <si>
    <t>Lysosomal glycogen degradation</t>
  </si>
  <si>
    <t>Lysosomal enzyme included as part of the phagolysosome/degradation module.</t>
  </si>
  <si>
    <t>Man2b1</t>
  </si>
  <si>
    <t>MAN2B1</t>
  </si>
  <si>
    <t>Lysosomal alpha-mannosidase</t>
  </si>
  <si>
    <t>Lysosomal glycoprotein degradation</t>
  </si>
  <si>
    <t>Lysosomal glycosidase consistent with macrophage degradative activity.</t>
  </si>
  <si>
    <t>Ctsl</t>
  </si>
  <si>
    <t>CTSL</t>
  </si>
  <si>
    <t>Cathepsin L</t>
  </si>
  <si>
    <t>Cathepsin protease relevant to macrophage lysosomal processing; q-value is above 0.05.</t>
  </si>
  <si>
    <t>B2m</t>
  </si>
  <si>
    <t>B2M</t>
  </si>
  <si>
    <t>Beta-2-microglobulin</t>
  </si>
  <si>
    <t>MHC class I antigen presentation</t>
  </si>
  <si>
    <t>Antigen-presentation component; included as supportive immune biology despite q-value above 0.05.</t>
  </si>
  <si>
    <t>RT1-Aw2</t>
  </si>
  <si>
    <t>HLA class I ortholog</t>
  </si>
  <si>
    <t>MHC class I antigen, RT1-Aw2</t>
  </si>
  <si>
    <t>Antigen presentation</t>
  </si>
  <si>
    <t>Rat MHC class I protein supporting the antigen-presentation component of the immune signature.</t>
  </si>
  <si>
    <t>Notes</t>
  </si>
  <si>
    <t>Source file</t>
  </si>
  <si>
    <t>GO_Enrichment.xlsx</t>
  </si>
  <si>
    <t>Model file</t>
  </si>
  <si>
    <t>portein list.xlsx</t>
  </si>
  <si>
    <t>Up/Down convention</t>
  </si>
  <si>
    <t>Positive log2FC means higher abundance in infarcted vs healthy; negative log2FC means lower abundance in infarcted vs healthy.</t>
  </si>
  <si>
    <t>Candidate type</t>
  </si>
  <si>
    <t>Macrophage-associated proteins, not necessarily macrophage-specific proteins.</t>
  </si>
  <si>
    <t>Significance note</t>
  </si>
  <si>
    <t>Rows with q-value &gt; 0.05 are labeled Secondary or supportive candidates when biologically relevant.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</si>
</sst>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>
    <font>
      <sz val="11"/>
      <name val="Carlito"/>
    </font>
    <font>
      <b/>
      <sz val="14"/>
      <color rgb="FFFFFFFF"/>
      <name val="Carlito"/>
    </font>
    <font>
      <i/>
      <sz val="10"/>
      <color rgb="FF1F2937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3"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crophageProteinTable" displayName="MacrophageProteinTable" ref="A4:K56">
  <tableColumns count="11">
    <tableColumn id="1" xr3:uid="{00000000-0010-0000-0000-000001000000}" name="Rat gene"/>
    <tableColumn id="2" xr3:uid="{00000000-0010-0000-0000-000002000000}" name="Human gene"/>
    <tableColumn id="3" xr3:uid="{00000000-0010-0000-0000-000003000000}" name="Protein"/>
    <tableColumn id="4" xr3:uid="{00000000-0010-0000-0000-000004000000}" name="Direction in rat infarcted vs healthy"/>
    <tableColumn id="5" xr3:uid="{00000000-0010-0000-0000-000005000000}" name="log2FC"/>
    <tableColumn id="6" xr3:uid="{00000000-0010-0000-0000-000006000000}" name="Fold-change"/>
    <tableColumn id="7" xr3:uid="{00000000-0010-0000-0000-000007000000}" name="q-value"/>
    <tableColumn id="8" xr3:uid="{00000000-0010-0000-0000-000008000000}" name="Priority"/>
    <tableColumn id="9" xr3:uid="{00000000-0010-0000-0000-000009000000}" name="Macrophage relevance"/>
    <tableColumn id="10" xr3:uid="{00000000-0010-0000-0000-00000A000000}" name="Macrophage-linked process"/>
    <tableColumn id="11" xr3:uid="{00000000-0010-0000-0000-00000B000000}" name="Rationale / why includ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tabSelected="1" workbookViewId="0">
      <selection sqref="A1:K1"/>
    </sheetView>
  </sheetViews>
  <sheetFormatPr baseColWidth="10" defaultColWidth="8.83203125" defaultRowHeight="14"/>
  <cols>
    <col min="1" max="2" width="16" customWidth="1"/>
    <col min="3" max="3" width="30" customWidth="1"/>
    <col min="4" max="4" width="20" customWidth="1"/>
    <col min="5" max="5" width="10" customWidth="1"/>
    <col min="6" max="6" width="12" customWidth="1"/>
    <col min="7" max="7" width="10" customWidth="1"/>
    <col min="8" max="8" width="13" customWidth="1"/>
    <col min="9" max="9" width="20" customWidth="1"/>
    <col min="10" max="10" width="34" customWidth="1"/>
    <col min="11" max="11" width="58" customWidth="1"/>
  </cols>
  <sheetData>
    <row r="1" spans="1:11" ht="37.25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45.25" customHeight="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4" spans="1:11" ht="58.75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spans="1:11" ht="64" customHeight="1">
      <c r="A5" s="4" t="s">
        <v>13</v>
      </c>
      <c r="B5" s="4" t="s">
        <v>14</v>
      </c>
      <c r="C5" s="4" t="s">
        <v>15</v>
      </c>
      <c r="D5" s="4" t="str">
        <f t="shared" ref="D5:D36" si="0">IF(E5&gt;0,"Up",IF(E5&lt;0,"Down","No change"))</f>
        <v>Up</v>
      </c>
      <c r="E5" s="5">
        <v>2.1720000000000002</v>
      </c>
      <c r="F5" s="5">
        <f t="shared" ref="F5:F36" si="1">2^E5</f>
        <v>4.5064769139891174</v>
      </c>
      <c r="G5" s="6">
        <v>5.1594202898550701E-3</v>
      </c>
      <c r="H5" s="4" t="s">
        <v>16</v>
      </c>
      <c r="I5" s="4" t="s">
        <v>17</v>
      </c>
      <c r="J5" s="4" t="s">
        <v>18</v>
      </c>
      <c r="K5" s="4" t="s">
        <v>19</v>
      </c>
    </row>
    <row r="6" spans="1:11" ht="64" customHeight="1">
      <c r="A6" s="4" t="s">
        <v>20</v>
      </c>
      <c r="B6" s="4" t="s">
        <v>21</v>
      </c>
      <c r="C6" s="4" t="s">
        <v>22</v>
      </c>
      <c r="D6" s="4" t="str">
        <f t="shared" si="0"/>
        <v>Up</v>
      </c>
      <c r="E6" s="5">
        <v>1.8049999999999999</v>
      </c>
      <c r="F6" s="5">
        <f t="shared" si="1"/>
        <v>3.4942915836667767</v>
      </c>
      <c r="G6" s="6">
        <v>2.1777777777777799E-2</v>
      </c>
      <c r="H6" s="4" t="s">
        <v>16</v>
      </c>
      <c r="I6" s="4" t="s">
        <v>17</v>
      </c>
      <c r="J6" s="4" t="s">
        <v>23</v>
      </c>
      <c r="K6" s="4" t="s">
        <v>24</v>
      </c>
    </row>
    <row r="7" spans="1:11" ht="64" customHeight="1">
      <c r="A7" s="4" t="s">
        <v>25</v>
      </c>
      <c r="B7" s="4" t="s">
        <v>26</v>
      </c>
      <c r="C7" s="4" t="s">
        <v>27</v>
      </c>
      <c r="D7" s="4" t="str">
        <f t="shared" si="0"/>
        <v>Up</v>
      </c>
      <c r="E7" s="5">
        <v>0.81399999999999995</v>
      </c>
      <c r="F7" s="5">
        <f t="shared" si="1"/>
        <v>1.7580791218235741</v>
      </c>
      <c r="G7" s="6">
        <v>2.2381818181818201E-2</v>
      </c>
      <c r="H7" s="4" t="s">
        <v>16</v>
      </c>
      <c r="I7" s="4" t="s">
        <v>17</v>
      </c>
      <c r="J7" s="4" t="s">
        <v>28</v>
      </c>
      <c r="K7" s="4" t="s">
        <v>29</v>
      </c>
    </row>
    <row r="8" spans="1:11" ht="64" customHeight="1">
      <c r="A8" s="4" t="s">
        <v>30</v>
      </c>
      <c r="B8" s="4" t="s">
        <v>31</v>
      </c>
      <c r="C8" s="4" t="s">
        <v>32</v>
      </c>
      <c r="D8" s="4" t="str">
        <f t="shared" si="0"/>
        <v>Up</v>
      </c>
      <c r="E8" s="5">
        <v>1.296</v>
      </c>
      <c r="F8" s="5">
        <f t="shared" si="1"/>
        <v>2.4554713678301208</v>
      </c>
      <c r="G8" s="6">
        <v>2.4961038961039E-2</v>
      </c>
      <c r="H8" s="4" t="s">
        <v>16</v>
      </c>
      <c r="I8" s="4" t="s">
        <v>17</v>
      </c>
      <c r="J8" s="4" t="s">
        <v>33</v>
      </c>
      <c r="K8" s="4" t="s">
        <v>34</v>
      </c>
    </row>
    <row r="9" spans="1:11" ht="64" customHeight="1">
      <c r="A9" s="4" t="s">
        <v>35</v>
      </c>
      <c r="B9" s="4" t="s">
        <v>36</v>
      </c>
      <c r="C9" s="4" t="s">
        <v>37</v>
      </c>
      <c r="D9" s="4" t="str">
        <f t="shared" si="0"/>
        <v>Up</v>
      </c>
      <c r="E9" s="5">
        <v>2.1749999999999998</v>
      </c>
      <c r="F9" s="5">
        <f t="shared" si="1"/>
        <v>4.5158576192245237</v>
      </c>
      <c r="G9" s="6">
        <v>2.3377777777777799E-2</v>
      </c>
      <c r="H9" s="4" t="s">
        <v>38</v>
      </c>
      <c r="I9" s="4" t="s">
        <v>17</v>
      </c>
      <c r="J9" s="4" t="s">
        <v>39</v>
      </c>
      <c r="K9" s="4" t="s">
        <v>40</v>
      </c>
    </row>
    <row r="10" spans="1:11" ht="64" customHeight="1">
      <c r="A10" s="4" t="s">
        <v>41</v>
      </c>
      <c r="B10" s="4" t="s">
        <v>42</v>
      </c>
      <c r="C10" s="4" t="s">
        <v>43</v>
      </c>
      <c r="D10" s="4" t="str">
        <f t="shared" si="0"/>
        <v>Up</v>
      </c>
      <c r="E10" s="5">
        <v>0.68100000000000005</v>
      </c>
      <c r="F10" s="5">
        <f t="shared" si="1"/>
        <v>1.6032506587987876</v>
      </c>
      <c r="G10" s="6">
        <v>1.7453608247422699E-2</v>
      </c>
      <c r="H10" s="4" t="s">
        <v>38</v>
      </c>
      <c r="I10" s="4" t="s">
        <v>17</v>
      </c>
      <c r="J10" s="4" t="s">
        <v>44</v>
      </c>
      <c r="K10" s="4" t="s">
        <v>45</v>
      </c>
    </row>
    <row r="11" spans="1:11" ht="64" customHeight="1">
      <c r="A11" s="4" t="s">
        <v>46</v>
      </c>
      <c r="B11" s="4" t="s">
        <v>47</v>
      </c>
      <c r="C11" s="4" t="s">
        <v>48</v>
      </c>
      <c r="D11" s="4" t="str">
        <f t="shared" si="0"/>
        <v>Up</v>
      </c>
      <c r="E11" s="5">
        <v>1.5349999999999999</v>
      </c>
      <c r="F11" s="5">
        <f t="shared" si="1"/>
        <v>2.8978843091097577</v>
      </c>
      <c r="G11" s="6">
        <v>6.1505376344085996E-3</v>
      </c>
      <c r="H11" s="4" t="s">
        <v>38</v>
      </c>
      <c r="I11" s="4" t="s">
        <v>49</v>
      </c>
      <c r="J11" s="4" t="s">
        <v>50</v>
      </c>
      <c r="K11" s="4" t="s">
        <v>51</v>
      </c>
    </row>
    <row r="12" spans="1:11" ht="64" customHeight="1">
      <c r="A12" s="4" t="s">
        <v>52</v>
      </c>
      <c r="B12" s="4" t="s">
        <v>53</v>
      </c>
      <c r="C12" s="4" t="s">
        <v>54</v>
      </c>
      <c r="D12" s="4" t="str">
        <f t="shared" si="0"/>
        <v>Up</v>
      </c>
      <c r="E12" s="5">
        <v>4.03</v>
      </c>
      <c r="F12" s="5">
        <f t="shared" si="1"/>
        <v>16.336194011315097</v>
      </c>
      <c r="G12" s="6">
        <v>8.5070422535211306E-3</v>
      </c>
      <c r="H12" s="4" t="s">
        <v>16</v>
      </c>
      <c r="I12" s="4" t="s">
        <v>17</v>
      </c>
      <c r="J12" s="4" t="s">
        <v>55</v>
      </c>
      <c r="K12" s="4" t="s">
        <v>56</v>
      </c>
    </row>
    <row r="13" spans="1:11" ht="64" customHeight="1">
      <c r="A13" s="4" t="s">
        <v>57</v>
      </c>
      <c r="B13" s="4" t="s">
        <v>58</v>
      </c>
      <c r="C13" s="4" t="s">
        <v>59</v>
      </c>
      <c r="D13" s="4" t="str">
        <f t="shared" si="0"/>
        <v>Up</v>
      </c>
      <c r="E13" s="5">
        <v>2.2130000000000001</v>
      </c>
      <c r="F13" s="5">
        <f t="shared" si="1"/>
        <v>4.6363838076178236</v>
      </c>
      <c r="G13" s="6">
        <v>8.6098654708520201E-3</v>
      </c>
      <c r="H13" s="4" t="s">
        <v>16</v>
      </c>
      <c r="I13" s="4" t="s">
        <v>17</v>
      </c>
      <c r="J13" s="4" t="s">
        <v>60</v>
      </c>
      <c r="K13" s="4" t="s">
        <v>61</v>
      </c>
    </row>
    <row r="14" spans="1:11" ht="64" customHeight="1">
      <c r="A14" s="4" t="s">
        <v>62</v>
      </c>
      <c r="B14" s="4" t="s">
        <v>63</v>
      </c>
      <c r="C14" s="4" t="s">
        <v>64</v>
      </c>
      <c r="D14" s="4" t="str">
        <f t="shared" si="0"/>
        <v>Up</v>
      </c>
      <c r="E14" s="5">
        <v>0.49399999999999999</v>
      </c>
      <c r="F14" s="5">
        <f t="shared" si="1"/>
        <v>1.4083442269120807</v>
      </c>
      <c r="G14" s="6">
        <v>3.2173913043478303E-2</v>
      </c>
      <c r="H14" s="4" t="s">
        <v>38</v>
      </c>
      <c r="I14" s="4" t="s">
        <v>17</v>
      </c>
      <c r="J14" s="4" t="s">
        <v>65</v>
      </c>
      <c r="K14" s="4" t="s">
        <v>66</v>
      </c>
    </row>
    <row r="15" spans="1:11" ht="64" customHeight="1">
      <c r="A15" s="4" t="s">
        <v>67</v>
      </c>
      <c r="B15" s="4" t="s">
        <v>68</v>
      </c>
      <c r="C15" s="4" t="s">
        <v>69</v>
      </c>
      <c r="D15" s="4" t="str">
        <f t="shared" si="0"/>
        <v>Up</v>
      </c>
      <c r="E15" s="5">
        <v>0.54200000000000004</v>
      </c>
      <c r="F15" s="5">
        <f t="shared" si="1"/>
        <v>1.4559895489990866</v>
      </c>
      <c r="G15" s="6">
        <v>7.56521739130435E-3</v>
      </c>
      <c r="H15" s="4" t="s">
        <v>38</v>
      </c>
      <c r="I15" s="4" t="s">
        <v>17</v>
      </c>
      <c r="J15" s="4" t="s">
        <v>65</v>
      </c>
      <c r="K15" s="4" t="s">
        <v>70</v>
      </c>
    </row>
    <row r="16" spans="1:11" ht="64" customHeight="1">
      <c r="A16" s="4" t="s">
        <v>71</v>
      </c>
      <c r="B16" s="4" t="s">
        <v>72</v>
      </c>
      <c r="C16" s="4" t="s">
        <v>73</v>
      </c>
      <c r="D16" s="4" t="str">
        <f t="shared" si="0"/>
        <v>Up</v>
      </c>
      <c r="E16" s="5">
        <v>0.52900000000000003</v>
      </c>
      <c r="F16" s="5">
        <f t="shared" si="1"/>
        <v>1.4429286868616282</v>
      </c>
      <c r="G16" s="6">
        <v>1.0601503759398501E-2</v>
      </c>
      <c r="H16" s="4" t="s">
        <v>38</v>
      </c>
      <c r="I16" s="4" t="s">
        <v>17</v>
      </c>
      <c r="J16" s="4" t="s">
        <v>65</v>
      </c>
      <c r="K16" s="4" t="s">
        <v>74</v>
      </c>
    </row>
    <row r="17" spans="1:11" ht="64" customHeight="1">
      <c r="A17" s="4" t="s">
        <v>75</v>
      </c>
      <c r="B17" s="4" t="s">
        <v>76</v>
      </c>
      <c r="C17" s="4" t="s">
        <v>77</v>
      </c>
      <c r="D17" s="4" t="str">
        <f t="shared" si="0"/>
        <v>Up</v>
      </c>
      <c r="E17" s="5">
        <v>1.696</v>
      </c>
      <c r="F17" s="5">
        <f t="shared" si="1"/>
        <v>3.2400138945281829</v>
      </c>
      <c r="G17" s="6">
        <v>6.3546099290780096E-3</v>
      </c>
      <c r="H17" s="4" t="s">
        <v>38</v>
      </c>
      <c r="I17" s="4" t="s">
        <v>49</v>
      </c>
      <c r="J17" s="4" t="s">
        <v>78</v>
      </c>
      <c r="K17" s="4" t="s">
        <v>79</v>
      </c>
    </row>
    <row r="18" spans="1:11" ht="64" customHeight="1">
      <c r="A18" s="4" t="s">
        <v>80</v>
      </c>
      <c r="B18" s="4" t="s">
        <v>81</v>
      </c>
      <c r="C18" s="4" t="s">
        <v>82</v>
      </c>
      <c r="D18" s="4" t="str">
        <f t="shared" si="0"/>
        <v>Up</v>
      </c>
      <c r="E18" s="5">
        <v>1.7170000000000001</v>
      </c>
      <c r="F18" s="5">
        <f t="shared" si="1"/>
        <v>3.2875207491794027</v>
      </c>
      <c r="G18" s="6">
        <v>7.6530612244898001E-3</v>
      </c>
      <c r="H18" s="4" t="s">
        <v>38</v>
      </c>
      <c r="I18" s="4" t="s">
        <v>49</v>
      </c>
      <c r="J18" s="4" t="s">
        <v>83</v>
      </c>
      <c r="K18" s="4" t="s">
        <v>84</v>
      </c>
    </row>
    <row r="19" spans="1:11" ht="64" customHeight="1">
      <c r="A19" s="4" t="s">
        <v>85</v>
      </c>
      <c r="B19" s="4" t="s">
        <v>85</v>
      </c>
      <c r="C19" s="4" t="s">
        <v>86</v>
      </c>
      <c r="D19" s="4" t="str">
        <f t="shared" si="0"/>
        <v>Up</v>
      </c>
      <c r="E19" s="5">
        <v>1.415</v>
      </c>
      <c r="F19" s="5">
        <f t="shared" si="1"/>
        <v>2.6665973541823971</v>
      </c>
      <c r="G19" s="6">
        <v>1.1465703971119101E-2</v>
      </c>
      <c r="H19" s="4" t="s">
        <v>38</v>
      </c>
      <c r="I19" s="4" t="s">
        <v>87</v>
      </c>
      <c r="J19" s="4" t="s">
        <v>88</v>
      </c>
      <c r="K19" s="4" t="s">
        <v>89</v>
      </c>
    </row>
    <row r="20" spans="1:11" ht="64" customHeight="1">
      <c r="A20" s="4" t="s">
        <v>90</v>
      </c>
      <c r="B20" s="4" t="s">
        <v>91</v>
      </c>
      <c r="C20" s="4" t="s">
        <v>92</v>
      </c>
      <c r="D20" s="4" t="str">
        <f t="shared" si="0"/>
        <v>Up</v>
      </c>
      <c r="E20" s="5">
        <v>2.101</v>
      </c>
      <c r="F20" s="5">
        <f t="shared" si="1"/>
        <v>4.2900664672717701</v>
      </c>
      <c r="G20" s="6">
        <v>5.1024549918166899E-2</v>
      </c>
      <c r="H20" s="4" t="s">
        <v>93</v>
      </c>
      <c r="I20" s="4" t="s">
        <v>87</v>
      </c>
      <c r="J20" s="4" t="s">
        <v>88</v>
      </c>
      <c r="K20" s="4" t="s">
        <v>94</v>
      </c>
    </row>
    <row r="21" spans="1:11" ht="64" customHeight="1">
      <c r="A21" s="4" t="s">
        <v>95</v>
      </c>
      <c r="B21" s="4" t="s">
        <v>96</v>
      </c>
      <c r="C21" s="4" t="s">
        <v>97</v>
      </c>
      <c r="D21" s="4" t="str">
        <f t="shared" si="0"/>
        <v>Up</v>
      </c>
      <c r="E21" s="5">
        <v>1.3819999999999999</v>
      </c>
      <c r="F21" s="5">
        <f t="shared" si="1"/>
        <v>2.6062942987265876</v>
      </c>
      <c r="G21" s="6">
        <v>5.8697247706421998E-2</v>
      </c>
      <c r="H21" s="4" t="s">
        <v>93</v>
      </c>
      <c r="I21" s="4" t="s">
        <v>87</v>
      </c>
      <c r="J21" s="4" t="s">
        <v>98</v>
      </c>
      <c r="K21" s="4" t="s">
        <v>99</v>
      </c>
    </row>
    <row r="22" spans="1:11" ht="64" customHeight="1">
      <c r="A22" s="4" t="s">
        <v>100</v>
      </c>
      <c r="B22" s="4" t="s">
        <v>101</v>
      </c>
      <c r="C22" s="4" t="s">
        <v>102</v>
      </c>
      <c r="D22" s="4" t="str">
        <f t="shared" si="0"/>
        <v>Up</v>
      </c>
      <c r="E22" s="5">
        <v>1.036</v>
      </c>
      <c r="F22" s="5">
        <f t="shared" si="1"/>
        <v>2.0505344757771877</v>
      </c>
      <c r="G22" s="6">
        <v>2.2583333333333299E-2</v>
      </c>
      <c r="H22" s="4" t="s">
        <v>38</v>
      </c>
      <c r="I22" s="4" t="s">
        <v>17</v>
      </c>
      <c r="J22" s="4" t="s">
        <v>103</v>
      </c>
      <c r="K22" s="4" t="s">
        <v>104</v>
      </c>
    </row>
    <row r="23" spans="1:11" ht="64" customHeight="1">
      <c r="A23" s="4" t="s">
        <v>105</v>
      </c>
      <c r="B23" s="4" t="s">
        <v>106</v>
      </c>
      <c r="C23" s="4" t="s">
        <v>107</v>
      </c>
      <c r="D23" s="4" t="str">
        <f t="shared" si="0"/>
        <v>Up</v>
      </c>
      <c r="E23" s="5">
        <v>1.502</v>
      </c>
      <c r="F23" s="5">
        <f t="shared" si="1"/>
        <v>2.8323508764290879</v>
      </c>
      <c r="G23" s="6">
        <v>1.02339622641509E-2</v>
      </c>
      <c r="H23" s="4" t="s">
        <v>16</v>
      </c>
      <c r="I23" s="4" t="s">
        <v>17</v>
      </c>
      <c r="J23" s="4" t="s">
        <v>108</v>
      </c>
      <c r="K23" s="4" t="s">
        <v>109</v>
      </c>
    </row>
    <row r="24" spans="1:11" ht="64" customHeight="1">
      <c r="A24" s="4" t="s">
        <v>110</v>
      </c>
      <c r="B24" s="4" t="s">
        <v>111</v>
      </c>
      <c r="C24" s="4" t="s">
        <v>112</v>
      </c>
      <c r="D24" s="4" t="str">
        <f t="shared" si="0"/>
        <v>Up</v>
      </c>
      <c r="E24" s="5">
        <v>0.96599999999999997</v>
      </c>
      <c r="F24" s="5">
        <f t="shared" si="1"/>
        <v>1.9534170579244547</v>
      </c>
      <c r="G24" s="6">
        <v>7.2085959885386797E-2</v>
      </c>
      <c r="H24" s="4" t="s">
        <v>93</v>
      </c>
      <c r="I24" s="4" t="s">
        <v>49</v>
      </c>
      <c r="J24" s="4" t="s">
        <v>113</v>
      </c>
      <c r="K24" s="4" t="s">
        <v>114</v>
      </c>
    </row>
    <row r="25" spans="1:11" ht="64" customHeight="1">
      <c r="A25" s="4" t="s">
        <v>115</v>
      </c>
      <c r="B25" s="4" t="s">
        <v>116</v>
      </c>
      <c r="C25" s="4" t="s">
        <v>117</v>
      </c>
      <c r="D25" s="4" t="str">
        <f t="shared" si="0"/>
        <v>Up</v>
      </c>
      <c r="E25" s="5">
        <v>1.7030000000000001</v>
      </c>
      <c r="F25" s="5">
        <f t="shared" si="1"/>
        <v>3.255772740281738</v>
      </c>
      <c r="G25" s="6">
        <v>2.2531177829099299E-2</v>
      </c>
      <c r="H25" s="4" t="s">
        <v>38</v>
      </c>
      <c r="I25" s="4" t="s">
        <v>49</v>
      </c>
      <c r="J25" s="4" t="s">
        <v>108</v>
      </c>
      <c r="K25" s="4" t="s">
        <v>118</v>
      </c>
    </row>
    <row r="26" spans="1:11" ht="64" customHeight="1">
      <c r="A26" s="4" t="s">
        <v>119</v>
      </c>
      <c r="B26" s="4" t="s">
        <v>120</v>
      </c>
      <c r="C26" s="4" t="s">
        <v>121</v>
      </c>
      <c r="D26" s="4" t="str">
        <f t="shared" si="0"/>
        <v>Up</v>
      </c>
      <c r="E26" s="5">
        <v>1.83</v>
      </c>
      <c r="F26" s="5">
        <f t="shared" si="1"/>
        <v>3.5553707246662811</v>
      </c>
      <c r="G26" s="6">
        <v>7.7319587628866E-3</v>
      </c>
      <c r="H26" s="4" t="s">
        <v>38</v>
      </c>
      <c r="I26" s="4" t="s">
        <v>87</v>
      </c>
      <c r="J26" s="4" t="s">
        <v>122</v>
      </c>
      <c r="K26" s="4" t="s">
        <v>123</v>
      </c>
    </row>
    <row r="27" spans="1:11" ht="64" customHeight="1">
      <c r="A27" s="4" t="s">
        <v>124</v>
      </c>
      <c r="B27" s="4" t="s">
        <v>125</v>
      </c>
      <c r="C27" s="4" t="s">
        <v>126</v>
      </c>
      <c r="D27" s="4" t="str">
        <f t="shared" si="0"/>
        <v>Up</v>
      </c>
      <c r="E27" s="5">
        <v>2.016</v>
      </c>
      <c r="F27" s="5">
        <f t="shared" si="1"/>
        <v>4.0446083234052166</v>
      </c>
      <c r="G27" s="6">
        <v>1.39025787965616E-2</v>
      </c>
      <c r="H27" s="4" t="s">
        <v>38</v>
      </c>
      <c r="I27" s="4" t="s">
        <v>87</v>
      </c>
      <c r="J27" s="4" t="s">
        <v>122</v>
      </c>
      <c r="K27" s="4" t="s">
        <v>127</v>
      </c>
    </row>
    <row r="28" spans="1:11" ht="64" customHeight="1">
      <c r="A28" s="4" t="s">
        <v>128</v>
      </c>
      <c r="B28" s="4" t="s">
        <v>129</v>
      </c>
      <c r="C28" s="4" t="s">
        <v>130</v>
      </c>
      <c r="D28" s="4" t="str">
        <f t="shared" si="0"/>
        <v>Up</v>
      </c>
      <c r="E28" s="5">
        <v>1.897</v>
      </c>
      <c r="F28" s="5">
        <f t="shared" si="1"/>
        <v>3.7243792793209161</v>
      </c>
      <c r="G28" s="6">
        <v>8.4210526315789506E-3</v>
      </c>
      <c r="H28" s="4" t="s">
        <v>38</v>
      </c>
      <c r="I28" s="4" t="s">
        <v>87</v>
      </c>
      <c r="J28" s="4" t="s">
        <v>122</v>
      </c>
      <c r="K28" s="4" t="s">
        <v>131</v>
      </c>
    </row>
    <row r="29" spans="1:11" ht="64" customHeight="1">
      <c r="A29" s="4" t="s">
        <v>132</v>
      </c>
      <c r="B29" s="4" t="s">
        <v>133</v>
      </c>
      <c r="C29" s="4" t="s">
        <v>134</v>
      </c>
      <c r="D29" s="4" t="str">
        <f t="shared" si="0"/>
        <v>Up</v>
      </c>
      <c r="E29" s="5">
        <v>0.95399999999999996</v>
      </c>
      <c r="F29" s="5">
        <f t="shared" si="1"/>
        <v>1.9372363784532551</v>
      </c>
      <c r="G29" s="6">
        <v>7.5029585798816597E-3</v>
      </c>
      <c r="H29" s="4" t="s">
        <v>16</v>
      </c>
      <c r="I29" s="4" t="s">
        <v>49</v>
      </c>
      <c r="J29" s="4" t="s">
        <v>135</v>
      </c>
      <c r="K29" s="4" t="s">
        <v>136</v>
      </c>
    </row>
    <row r="30" spans="1:11" ht="64" customHeight="1">
      <c r="A30" s="4" t="s">
        <v>137</v>
      </c>
      <c r="B30" s="4" t="s">
        <v>138</v>
      </c>
      <c r="C30" s="4" t="s">
        <v>139</v>
      </c>
      <c r="D30" s="4" t="str">
        <f t="shared" si="0"/>
        <v>Up</v>
      </c>
      <c r="E30" s="5">
        <v>0.627</v>
      </c>
      <c r="F30" s="5">
        <f t="shared" si="1"/>
        <v>1.54435026618357</v>
      </c>
      <c r="G30" s="6">
        <v>4.82293423271501E-2</v>
      </c>
      <c r="H30" s="4" t="s">
        <v>38</v>
      </c>
      <c r="I30" s="4" t="s">
        <v>17</v>
      </c>
      <c r="J30" s="4" t="s">
        <v>140</v>
      </c>
      <c r="K30" s="4" t="s">
        <v>141</v>
      </c>
    </row>
    <row r="31" spans="1:11" ht="64" customHeight="1">
      <c r="A31" s="4" t="s">
        <v>142</v>
      </c>
      <c r="B31" s="4" t="s">
        <v>143</v>
      </c>
      <c r="C31" s="4" t="s">
        <v>144</v>
      </c>
      <c r="D31" s="4" t="str">
        <f t="shared" si="0"/>
        <v>Up</v>
      </c>
      <c r="E31" s="5">
        <v>1.0980000000000001</v>
      </c>
      <c r="F31" s="5">
        <f t="shared" si="1"/>
        <v>2.140577396853248</v>
      </c>
      <c r="G31" s="6">
        <v>4.6233766233766196E-3</v>
      </c>
      <c r="H31" s="4" t="s">
        <v>38</v>
      </c>
      <c r="I31" s="4" t="s">
        <v>49</v>
      </c>
      <c r="J31" s="4" t="s">
        <v>145</v>
      </c>
      <c r="K31" s="4" t="s">
        <v>146</v>
      </c>
    </row>
    <row r="32" spans="1:11" ht="64" customHeight="1">
      <c r="A32" s="4" t="s">
        <v>147</v>
      </c>
      <c r="B32" s="4" t="s">
        <v>148</v>
      </c>
      <c r="C32" s="4" t="s">
        <v>149</v>
      </c>
      <c r="D32" s="4" t="str">
        <f t="shared" si="0"/>
        <v>Up</v>
      </c>
      <c r="E32" s="5">
        <v>1.639</v>
      </c>
      <c r="F32" s="5">
        <f t="shared" si="1"/>
        <v>3.114498764246648</v>
      </c>
      <c r="G32" s="6">
        <v>9.5772357723577194E-3</v>
      </c>
      <c r="H32" s="4" t="s">
        <v>16</v>
      </c>
      <c r="I32" s="4" t="s">
        <v>17</v>
      </c>
      <c r="J32" s="4" t="s">
        <v>150</v>
      </c>
      <c r="K32" s="4" t="s">
        <v>151</v>
      </c>
    </row>
    <row r="33" spans="1:11" ht="64" customHeight="1">
      <c r="A33" s="4" t="s">
        <v>152</v>
      </c>
      <c r="B33" s="4" t="s">
        <v>153</v>
      </c>
      <c r="C33" s="4" t="s">
        <v>154</v>
      </c>
      <c r="D33" s="4" t="str">
        <f t="shared" si="0"/>
        <v>Up</v>
      </c>
      <c r="E33" s="5">
        <v>2.306</v>
      </c>
      <c r="F33" s="5">
        <f t="shared" si="1"/>
        <v>4.9451010436838052</v>
      </c>
      <c r="G33" s="6">
        <v>5.9583333333333302E-3</v>
      </c>
      <c r="H33" s="4" t="s">
        <v>16</v>
      </c>
      <c r="I33" s="4" t="s">
        <v>49</v>
      </c>
      <c r="J33" s="4" t="s">
        <v>155</v>
      </c>
      <c r="K33" s="4" t="s">
        <v>156</v>
      </c>
    </row>
    <row r="34" spans="1:11" ht="64" customHeight="1">
      <c r="A34" s="4" t="s">
        <v>157</v>
      </c>
      <c r="B34" s="4" t="s">
        <v>158</v>
      </c>
      <c r="C34" s="4" t="s">
        <v>159</v>
      </c>
      <c r="D34" s="4" t="str">
        <f t="shared" si="0"/>
        <v>Up</v>
      </c>
      <c r="E34" s="5">
        <v>1.899</v>
      </c>
      <c r="F34" s="5">
        <f t="shared" si="1"/>
        <v>3.7295459457473297</v>
      </c>
      <c r="G34" s="6">
        <v>1.43550295857988E-2</v>
      </c>
      <c r="H34" s="4" t="s">
        <v>16</v>
      </c>
      <c r="I34" s="4" t="s">
        <v>17</v>
      </c>
      <c r="J34" s="4" t="s">
        <v>160</v>
      </c>
      <c r="K34" s="4" t="s">
        <v>161</v>
      </c>
    </row>
    <row r="35" spans="1:11" ht="64" customHeight="1">
      <c r="A35" s="4" t="s">
        <v>162</v>
      </c>
      <c r="B35" s="4" t="s">
        <v>163</v>
      </c>
      <c r="C35" s="4" t="s">
        <v>164</v>
      </c>
      <c r="D35" s="4" t="str">
        <f t="shared" si="0"/>
        <v>Up</v>
      </c>
      <c r="E35" s="5">
        <v>0.59299999999999997</v>
      </c>
      <c r="F35" s="5">
        <f t="shared" si="1"/>
        <v>1.5083800766865787</v>
      </c>
      <c r="G35" s="6">
        <v>1.6943005181347202E-2</v>
      </c>
      <c r="H35" s="4" t="s">
        <v>16</v>
      </c>
      <c r="I35" s="4" t="s">
        <v>17</v>
      </c>
      <c r="J35" s="4" t="s">
        <v>165</v>
      </c>
      <c r="K35" s="4" t="s">
        <v>166</v>
      </c>
    </row>
    <row r="36" spans="1:11" ht="64" customHeight="1">
      <c r="A36" s="4" t="s">
        <v>167</v>
      </c>
      <c r="B36" s="4" t="s">
        <v>168</v>
      </c>
      <c r="C36" s="4" t="s">
        <v>169</v>
      </c>
      <c r="D36" s="4" t="str">
        <f t="shared" si="0"/>
        <v>Up</v>
      </c>
      <c r="E36" s="5">
        <v>2.089</v>
      </c>
      <c r="F36" s="5">
        <f t="shared" si="1"/>
        <v>4.2545306915727377</v>
      </c>
      <c r="G36" s="6">
        <v>6.2857142857142903E-3</v>
      </c>
      <c r="H36" s="4" t="s">
        <v>38</v>
      </c>
      <c r="I36" s="4" t="s">
        <v>87</v>
      </c>
      <c r="J36" s="4" t="s">
        <v>170</v>
      </c>
      <c r="K36" s="4" t="s">
        <v>171</v>
      </c>
    </row>
    <row r="37" spans="1:11" ht="64" customHeight="1">
      <c r="A37" s="4" t="s">
        <v>172</v>
      </c>
      <c r="B37" s="4" t="s">
        <v>173</v>
      </c>
      <c r="C37" s="4" t="s">
        <v>174</v>
      </c>
      <c r="D37" s="4" t="str">
        <f t="shared" ref="D37:D68" si="2">IF(E37&gt;0,"Up",IF(E37&lt;0,"Down","No change"))</f>
        <v>Up</v>
      </c>
      <c r="E37" s="5">
        <v>1.0720000000000001</v>
      </c>
      <c r="F37" s="5">
        <f t="shared" ref="F37:F68" si="3">2^E37</f>
        <v>2.1023458181754129</v>
      </c>
      <c r="G37" s="6">
        <v>6.58823529411765E-3</v>
      </c>
      <c r="H37" s="4" t="s">
        <v>16</v>
      </c>
      <c r="I37" s="4" t="s">
        <v>49</v>
      </c>
      <c r="J37" s="4" t="s">
        <v>175</v>
      </c>
      <c r="K37" s="4" t="s">
        <v>176</v>
      </c>
    </row>
    <row r="38" spans="1:11" ht="64" customHeight="1">
      <c r="A38" s="4" t="s">
        <v>177</v>
      </c>
      <c r="B38" s="4" t="s">
        <v>178</v>
      </c>
      <c r="C38" s="4" t="s">
        <v>179</v>
      </c>
      <c r="D38" s="4" t="str">
        <f t="shared" si="2"/>
        <v>Up</v>
      </c>
      <c r="E38" s="5">
        <v>0.89500000000000002</v>
      </c>
      <c r="F38" s="5">
        <f t="shared" si="3"/>
        <v>1.8596098852263236</v>
      </c>
      <c r="G38" s="6">
        <v>2.25871559633028E-2</v>
      </c>
      <c r="H38" s="4" t="s">
        <v>38</v>
      </c>
      <c r="I38" s="4" t="s">
        <v>87</v>
      </c>
      <c r="J38" s="4" t="s">
        <v>180</v>
      </c>
      <c r="K38" s="4" t="s">
        <v>181</v>
      </c>
    </row>
    <row r="39" spans="1:11" ht="64" customHeight="1">
      <c r="A39" s="4" t="s">
        <v>182</v>
      </c>
      <c r="B39" s="4" t="s">
        <v>183</v>
      </c>
      <c r="C39" s="4" t="s">
        <v>184</v>
      </c>
      <c r="D39" s="4" t="str">
        <f t="shared" si="2"/>
        <v>Up</v>
      </c>
      <c r="E39" s="5">
        <v>2.1219999999999999</v>
      </c>
      <c r="F39" s="5">
        <f t="shared" si="3"/>
        <v>4.3529697666832146</v>
      </c>
      <c r="G39" s="6">
        <v>8.5675675675675692E-3</v>
      </c>
      <c r="H39" s="4" t="s">
        <v>38</v>
      </c>
      <c r="I39" s="4" t="s">
        <v>49</v>
      </c>
      <c r="J39" s="4" t="s">
        <v>185</v>
      </c>
      <c r="K39" s="4" t="s">
        <v>186</v>
      </c>
    </row>
    <row r="40" spans="1:11" ht="64" customHeight="1">
      <c r="A40" s="4" t="s">
        <v>187</v>
      </c>
      <c r="B40" s="4" t="s">
        <v>188</v>
      </c>
      <c r="C40" s="4" t="s">
        <v>189</v>
      </c>
      <c r="D40" s="4" t="str">
        <f t="shared" si="2"/>
        <v>Up</v>
      </c>
      <c r="E40" s="5">
        <v>1.3380000000000001</v>
      </c>
      <c r="F40" s="5">
        <f t="shared" si="3"/>
        <v>2.5280061969056136</v>
      </c>
      <c r="G40" s="6">
        <v>7.1199999999999996E-3</v>
      </c>
      <c r="H40" s="4" t="s">
        <v>16</v>
      </c>
      <c r="I40" s="4" t="s">
        <v>49</v>
      </c>
      <c r="J40" s="4" t="s">
        <v>190</v>
      </c>
      <c r="K40" s="4" t="s">
        <v>191</v>
      </c>
    </row>
    <row r="41" spans="1:11" ht="64" customHeight="1">
      <c r="A41" s="4" t="s">
        <v>192</v>
      </c>
      <c r="B41" s="4" t="s">
        <v>193</v>
      </c>
      <c r="C41" s="4" t="s">
        <v>194</v>
      </c>
      <c r="D41" s="4" t="str">
        <f t="shared" si="2"/>
        <v>Up</v>
      </c>
      <c r="E41" s="5">
        <v>1.726</v>
      </c>
      <c r="F41" s="5">
        <f t="shared" si="3"/>
        <v>3.3080934737730625</v>
      </c>
      <c r="G41" s="6">
        <v>3.36229508196721E-2</v>
      </c>
      <c r="H41" s="4" t="s">
        <v>38</v>
      </c>
      <c r="I41" s="4" t="s">
        <v>49</v>
      </c>
      <c r="J41" s="4" t="s">
        <v>195</v>
      </c>
      <c r="K41" s="4" t="s">
        <v>196</v>
      </c>
    </row>
    <row r="42" spans="1:11" ht="64" customHeight="1">
      <c r="A42" s="4" t="s">
        <v>197</v>
      </c>
      <c r="B42" s="4" t="s">
        <v>198</v>
      </c>
      <c r="C42" s="4" t="s">
        <v>199</v>
      </c>
      <c r="D42" s="4" t="str">
        <f t="shared" si="2"/>
        <v>Up</v>
      </c>
      <c r="E42" s="5">
        <v>0.56499999999999995</v>
      </c>
      <c r="F42" s="5">
        <f t="shared" si="3"/>
        <v>1.4793875092488373</v>
      </c>
      <c r="G42" s="6">
        <v>1.50640668523677E-2</v>
      </c>
      <c r="H42" s="4" t="s">
        <v>38</v>
      </c>
      <c r="I42" s="4" t="s">
        <v>49</v>
      </c>
      <c r="J42" s="4" t="s">
        <v>200</v>
      </c>
      <c r="K42" s="4" t="s">
        <v>201</v>
      </c>
    </row>
    <row r="43" spans="1:11" ht="64" customHeight="1">
      <c r="A43" s="4" t="s">
        <v>202</v>
      </c>
      <c r="B43" s="4" t="s">
        <v>203</v>
      </c>
      <c r="C43" s="4" t="s">
        <v>204</v>
      </c>
      <c r="D43" s="4" t="str">
        <f t="shared" si="2"/>
        <v>Up</v>
      </c>
      <c r="E43" s="5">
        <v>0.94799999999999995</v>
      </c>
      <c r="F43" s="5">
        <f t="shared" si="3"/>
        <v>1.9291963691682765</v>
      </c>
      <c r="G43" s="6">
        <v>2.0715990453460599E-2</v>
      </c>
      <c r="H43" s="4" t="s">
        <v>38</v>
      </c>
      <c r="I43" s="4" t="s">
        <v>17</v>
      </c>
      <c r="J43" s="4" t="s">
        <v>205</v>
      </c>
      <c r="K43" s="4" t="s">
        <v>206</v>
      </c>
    </row>
    <row r="44" spans="1:11" ht="64" customHeight="1">
      <c r="A44" s="4" t="s">
        <v>207</v>
      </c>
      <c r="B44" s="4" t="s">
        <v>208</v>
      </c>
      <c r="C44" s="4" t="s">
        <v>209</v>
      </c>
      <c r="D44" s="4" t="str">
        <f t="shared" si="2"/>
        <v>Up</v>
      </c>
      <c r="E44" s="5">
        <v>0.73199999999999998</v>
      </c>
      <c r="F44" s="5">
        <f t="shared" si="3"/>
        <v>1.6609400481817882</v>
      </c>
      <c r="G44" s="6">
        <v>7.8534031413612596E-3</v>
      </c>
      <c r="H44" s="4" t="s">
        <v>38</v>
      </c>
      <c r="I44" s="4" t="s">
        <v>49</v>
      </c>
      <c r="J44" s="4" t="s">
        <v>210</v>
      </c>
      <c r="K44" s="4" t="s">
        <v>211</v>
      </c>
    </row>
    <row r="45" spans="1:11" ht="64" customHeight="1">
      <c r="A45" s="4" t="s">
        <v>212</v>
      </c>
      <c r="B45" s="4" t="s">
        <v>213</v>
      </c>
      <c r="C45" s="4" t="s">
        <v>214</v>
      </c>
      <c r="D45" s="4" t="str">
        <f t="shared" si="2"/>
        <v>Down</v>
      </c>
      <c r="E45" s="5">
        <v>-0.36299999999999999</v>
      </c>
      <c r="F45" s="5">
        <f t="shared" si="3"/>
        <v>0.77754603588255844</v>
      </c>
      <c r="G45" s="6">
        <v>8.0253164556962006E-3</v>
      </c>
      <c r="H45" s="4" t="s">
        <v>38</v>
      </c>
      <c r="I45" s="4" t="s">
        <v>49</v>
      </c>
      <c r="J45" s="4" t="s">
        <v>215</v>
      </c>
      <c r="K45" s="4" t="s">
        <v>216</v>
      </c>
    </row>
    <row r="46" spans="1:11" ht="64" customHeight="1">
      <c r="A46" s="4" t="s">
        <v>217</v>
      </c>
      <c r="B46" s="4" t="s">
        <v>218</v>
      </c>
      <c r="C46" s="4" t="s">
        <v>219</v>
      </c>
      <c r="D46" s="4" t="str">
        <f t="shared" si="2"/>
        <v>Down</v>
      </c>
      <c r="E46" s="5">
        <v>-0.64100000000000001</v>
      </c>
      <c r="F46" s="5">
        <f t="shared" si="3"/>
        <v>0.64126830138112412</v>
      </c>
      <c r="G46" s="6">
        <v>8.0000000000000002E-3</v>
      </c>
      <c r="H46" s="4" t="s">
        <v>38</v>
      </c>
      <c r="I46" s="4" t="s">
        <v>49</v>
      </c>
      <c r="J46" s="4" t="s">
        <v>220</v>
      </c>
      <c r="K46" s="4" t="s">
        <v>221</v>
      </c>
    </row>
    <row r="47" spans="1:11" ht="64" customHeight="1">
      <c r="A47" s="4" t="s">
        <v>222</v>
      </c>
      <c r="B47" s="4" t="s">
        <v>223</v>
      </c>
      <c r="C47" s="4" t="s">
        <v>224</v>
      </c>
      <c r="D47" s="4" t="str">
        <f t="shared" si="2"/>
        <v>Down</v>
      </c>
      <c r="E47" s="5">
        <v>-0.78800000000000003</v>
      </c>
      <c r="F47" s="5">
        <f t="shared" si="3"/>
        <v>0.57914640309732157</v>
      </c>
      <c r="G47" s="6">
        <v>4.1522388059701501E-2</v>
      </c>
      <c r="H47" s="4" t="s">
        <v>38</v>
      </c>
      <c r="I47" s="4" t="s">
        <v>49</v>
      </c>
      <c r="J47" s="4" t="s">
        <v>225</v>
      </c>
      <c r="K47" s="4" t="s">
        <v>226</v>
      </c>
    </row>
    <row r="48" spans="1:11" ht="64" customHeight="1">
      <c r="A48" s="4" t="s">
        <v>227</v>
      </c>
      <c r="B48" s="4" t="s">
        <v>228</v>
      </c>
      <c r="C48" s="4" t="s">
        <v>229</v>
      </c>
      <c r="D48" s="4" t="str">
        <f t="shared" si="2"/>
        <v>Down</v>
      </c>
      <c r="E48" s="5">
        <v>-0.80200000000000005</v>
      </c>
      <c r="F48" s="5">
        <f t="shared" si="3"/>
        <v>0.57355351211308259</v>
      </c>
      <c r="G48" s="6">
        <v>4.1489908256880703E-2</v>
      </c>
      <c r="H48" s="4" t="s">
        <v>38</v>
      </c>
      <c r="I48" s="4" t="s">
        <v>87</v>
      </c>
      <c r="J48" s="4" t="s">
        <v>230</v>
      </c>
      <c r="K48" s="4" t="s">
        <v>231</v>
      </c>
    </row>
    <row r="49" spans="1:11" ht="64" customHeight="1">
      <c r="A49" s="4" t="s">
        <v>232</v>
      </c>
      <c r="B49" s="4" t="s">
        <v>233</v>
      </c>
      <c r="C49" s="4" t="s">
        <v>234</v>
      </c>
      <c r="D49" s="4" t="str">
        <f t="shared" si="2"/>
        <v>Down</v>
      </c>
      <c r="E49" s="5">
        <v>-0.81299999999999994</v>
      </c>
      <c r="F49" s="5">
        <f t="shared" si="3"/>
        <v>0.56919701453743887</v>
      </c>
      <c r="G49" s="6">
        <v>1.4011299435028201E-2</v>
      </c>
      <c r="H49" s="4" t="s">
        <v>38</v>
      </c>
      <c r="I49" s="4" t="s">
        <v>87</v>
      </c>
      <c r="J49" s="4" t="s">
        <v>235</v>
      </c>
      <c r="K49" s="4" t="s">
        <v>236</v>
      </c>
    </row>
    <row r="50" spans="1:11" ht="64" customHeight="1">
      <c r="A50" s="4" t="s">
        <v>237</v>
      </c>
      <c r="B50" s="4" t="s">
        <v>238</v>
      </c>
      <c r="C50" s="4" t="s">
        <v>239</v>
      </c>
      <c r="D50" s="4" t="str">
        <f t="shared" si="2"/>
        <v>Down</v>
      </c>
      <c r="E50" s="5">
        <v>-0.99299999999999999</v>
      </c>
      <c r="F50" s="5">
        <f t="shared" si="3"/>
        <v>0.50243191021189282</v>
      </c>
      <c r="G50" s="6">
        <v>1.04705882352941E-2</v>
      </c>
      <c r="H50" s="4" t="s">
        <v>38</v>
      </c>
      <c r="I50" s="4" t="s">
        <v>49</v>
      </c>
      <c r="J50" s="4" t="s">
        <v>240</v>
      </c>
      <c r="K50" s="4" t="s">
        <v>241</v>
      </c>
    </row>
    <row r="51" spans="1:11" ht="64" customHeight="1">
      <c r="A51" s="4" t="s">
        <v>242</v>
      </c>
      <c r="B51" s="4" t="s">
        <v>243</v>
      </c>
      <c r="C51" s="4" t="s">
        <v>244</v>
      </c>
      <c r="D51" s="4" t="str">
        <f t="shared" si="2"/>
        <v>Up</v>
      </c>
      <c r="E51" s="5">
        <v>0.99</v>
      </c>
      <c r="F51" s="5">
        <f t="shared" si="3"/>
        <v>1.9861849908740716</v>
      </c>
      <c r="G51" s="6">
        <v>1.5914666666666698E-2</v>
      </c>
      <c r="H51" s="4" t="s">
        <v>38</v>
      </c>
      <c r="I51" s="4" t="s">
        <v>87</v>
      </c>
      <c r="J51" s="4" t="s">
        <v>245</v>
      </c>
      <c r="K51" s="4" t="s">
        <v>246</v>
      </c>
    </row>
    <row r="52" spans="1:11" ht="64" customHeight="1">
      <c r="A52" s="4" t="s">
        <v>247</v>
      </c>
      <c r="B52" s="4" t="s">
        <v>248</v>
      </c>
      <c r="C52" s="4" t="s">
        <v>249</v>
      </c>
      <c r="D52" s="4" t="str">
        <f t="shared" si="2"/>
        <v>Up</v>
      </c>
      <c r="E52" s="5">
        <v>0.94299999999999995</v>
      </c>
      <c r="F52" s="5">
        <f t="shared" si="3"/>
        <v>1.9225218567775226</v>
      </c>
      <c r="G52" s="6">
        <v>2.3267857142857101E-2</v>
      </c>
      <c r="H52" s="4" t="s">
        <v>38</v>
      </c>
      <c r="I52" s="4" t="s">
        <v>87</v>
      </c>
      <c r="J52" s="4" t="s">
        <v>250</v>
      </c>
      <c r="K52" s="4" t="s">
        <v>251</v>
      </c>
    </row>
    <row r="53" spans="1:11" ht="64" customHeight="1">
      <c r="A53" s="4" t="s">
        <v>252</v>
      </c>
      <c r="B53" s="4" t="s">
        <v>253</v>
      </c>
      <c r="C53" s="4" t="s">
        <v>254</v>
      </c>
      <c r="D53" s="4" t="str">
        <f t="shared" si="2"/>
        <v>Up</v>
      </c>
      <c r="E53" s="5">
        <v>0.91600000000000004</v>
      </c>
      <c r="F53" s="5">
        <f t="shared" si="3"/>
        <v>1.8868765017907201</v>
      </c>
      <c r="G53" s="6">
        <v>2.45164113785558E-2</v>
      </c>
      <c r="H53" s="4" t="s">
        <v>38</v>
      </c>
      <c r="I53" s="4" t="s">
        <v>87</v>
      </c>
      <c r="J53" s="4" t="s">
        <v>255</v>
      </c>
      <c r="K53" s="4" t="s">
        <v>256</v>
      </c>
    </row>
    <row r="54" spans="1:11" ht="64" customHeight="1">
      <c r="A54" s="4" t="s">
        <v>257</v>
      </c>
      <c r="B54" s="4" t="s">
        <v>258</v>
      </c>
      <c r="C54" s="4" t="s">
        <v>259</v>
      </c>
      <c r="D54" s="4" t="str">
        <f t="shared" si="2"/>
        <v>Up</v>
      </c>
      <c r="E54" s="5">
        <v>1.7929999999999999</v>
      </c>
      <c r="F54" s="5">
        <f t="shared" si="3"/>
        <v>3.4653474256003487</v>
      </c>
      <c r="G54" s="6">
        <v>6.2531343283582105E-2</v>
      </c>
      <c r="H54" s="4" t="s">
        <v>93</v>
      </c>
      <c r="I54" s="4" t="s">
        <v>49</v>
      </c>
      <c r="J54" s="4" t="s">
        <v>220</v>
      </c>
      <c r="K54" s="4" t="s">
        <v>260</v>
      </c>
    </row>
    <row r="55" spans="1:11" ht="64" customHeight="1">
      <c r="A55" s="4" t="s">
        <v>261</v>
      </c>
      <c r="B55" s="4" t="s">
        <v>262</v>
      </c>
      <c r="C55" s="4" t="s">
        <v>263</v>
      </c>
      <c r="D55" s="4" t="str">
        <f t="shared" si="2"/>
        <v>Up</v>
      </c>
      <c r="E55" s="5">
        <v>0.59</v>
      </c>
      <c r="F55" s="5">
        <f t="shared" si="3"/>
        <v>1.5052467474110671</v>
      </c>
      <c r="G55" s="6">
        <v>6.0128244274809201E-2</v>
      </c>
      <c r="H55" s="4" t="s">
        <v>93</v>
      </c>
      <c r="I55" s="4" t="s">
        <v>87</v>
      </c>
      <c r="J55" s="4" t="s">
        <v>264</v>
      </c>
      <c r="K55" s="4" t="s">
        <v>265</v>
      </c>
    </row>
    <row r="56" spans="1:11" ht="64" customHeight="1">
      <c r="A56" s="4" t="s">
        <v>266</v>
      </c>
      <c r="B56" s="4" t="s">
        <v>267</v>
      </c>
      <c r="C56" s="4" t="s">
        <v>268</v>
      </c>
      <c r="D56" s="4" t="str">
        <f t="shared" si="2"/>
        <v>Up</v>
      </c>
      <c r="E56" s="5">
        <v>1.327</v>
      </c>
      <c r="F56" s="5">
        <f t="shared" si="3"/>
        <v>2.5088044090419896</v>
      </c>
      <c r="G56" s="6">
        <v>5.0140845070422496E-3</v>
      </c>
      <c r="H56" s="4" t="s">
        <v>38</v>
      </c>
      <c r="I56" s="4" t="s">
        <v>87</v>
      </c>
      <c r="J56" s="4" t="s">
        <v>269</v>
      </c>
      <c r="K56" s="4" t="s">
        <v>270</v>
      </c>
    </row>
  </sheetData>
  <mergeCells count="2">
    <mergeCell ref="A1:K1"/>
    <mergeCell ref="A2:K2"/>
  </mergeCells>
  <conditionalFormatting sqref="G5:G56">
    <cfRule type="expression" dxfId="2" priority="1">
      <formula>G5&gt;0.05</formula>
    </cfRule>
  </conditionalFormatting>
  <conditionalFormatting sqref="H5:H56">
    <cfRule type="expression" dxfId="1" priority="2">
      <formula>H5="Very high"</formula>
    </cfRule>
    <cfRule type="expression" dxfId="0" priority="3">
      <formula>H5="Secondary"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3203125" defaultRowHeight="14"/>
  <cols>
    <col min="1" max="1" width="22" customWidth="1"/>
    <col min="2" max="2" width="95" customWidth="1"/>
  </cols>
  <sheetData>
    <row r="1" spans="1:2" ht="18">
      <c r="A1" s="1" t="s">
        <v>271</v>
      </c>
    </row>
    <row r="3" spans="1:2" ht="15">
      <c r="A3" s="3" t="s">
        <v>272</v>
      </c>
      <c r="B3" s="3" t="s">
        <v>273</v>
      </c>
    </row>
    <row r="4" spans="1:2" ht="15">
      <c r="A4" s="3" t="s">
        <v>274</v>
      </c>
      <c r="B4" s="3" t="s">
        <v>275</v>
      </c>
    </row>
    <row r="5" spans="1:2" ht="30">
      <c r="A5" s="3" t="s">
        <v>276</v>
      </c>
      <c r="B5" s="3" t="s">
        <v>277</v>
      </c>
    </row>
    <row r="6" spans="1:2" ht="15">
      <c r="A6" s="3" t="s">
        <v>278</v>
      </c>
      <c r="B6" s="3" t="s">
        <v>279</v>
      </c>
    </row>
    <row r="7" spans="1:2" ht="15">
      <c r="A7" s="3" t="s">
        <v>280</v>
      </c>
      <c r="B7" s="3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Macrophage_protein_table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GIRAUD Marie-Noelle</cp:lastModifiedBy>
  <dcterms:created xsi:type="dcterms:W3CDTF">2026-05-26T13:13:04Z</dcterms:created>
  <dcterms:modified xsi:type="dcterms:W3CDTF">2026-05-26T13:13:04Z</dcterms:modified>
</cp:coreProperties>
</file>